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ThatFamily Dropbox\Sorin Jayaweera\allSaves\mudd\senior\clinic\documentation\"/>
    </mc:Choice>
  </mc:AlternateContent>
  <xr:revisionPtr revIDLastSave="0" documentId="13_ncr:1_{89FA1631-548B-43E8-9DC8-899D55E574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onents" sheetId="1" r:id="rId1"/>
    <sheet name="Headroom" sheetId="2" r:id="rId2"/>
    <sheet name="Evidence" sheetId="3" r:id="rId3"/>
  </sheets>
  <definedNames>
    <definedName name="_xlnm._FilterDatabase" localSheetId="0" hidden="1">Components!$A$1:$Q$10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F10" i="2" s="1"/>
  <c r="F9" i="2"/>
  <c r="E9" i="2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  <c r="K10" i="1"/>
  <c r="I10" i="1"/>
  <c r="I9" i="1"/>
  <c r="K8" i="1"/>
  <c r="I8" i="1"/>
  <c r="K7" i="1"/>
  <c r="I7" i="1"/>
  <c r="K6" i="1"/>
  <c r="I6" i="1"/>
  <c r="I5" i="1"/>
  <c r="K4" i="1"/>
  <c r="I4" i="1"/>
  <c r="K3" i="1"/>
  <c r="I3" i="1"/>
  <c r="K2" i="1"/>
  <c r="I2" i="1"/>
</calcChain>
</file>

<file path=xl/sharedStrings.xml><?xml version="1.0" encoding="utf-8"?>
<sst xmlns="http://schemas.openxmlformats.org/spreadsheetml/2006/main" count="282" uniqueCount="182">
  <si>
    <t>Part number</t>
  </si>
  <si>
    <t>Role</t>
  </si>
  <si>
    <t>JACON block</t>
  </si>
  <si>
    <t>Datasheet band</t>
  </si>
  <si>
    <t>Frequency seen in JACON</t>
  </si>
  <si>
    <t>Gain / loss at that frequency</t>
  </si>
  <si>
    <t>Damage limit (as printed on datasheet)</t>
  </si>
  <si>
    <t>Damage limit (dBm)</t>
  </si>
  <si>
    <t>Damage limit (mW)</t>
  </si>
  <si>
    <t>P1dB / compression (dBm)</t>
  </si>
  <si>
    <t>P1dB (mW)</t>
  </si>
  <si>
    <t>Notes</t>
  </si>
  <si>
    <t>Datasheet page</t>
  </si>
  <si>
    <t>Mini-Circuits PDF</t>
  </si>
  <si>
    <t>Local PDF copy</t>
  </si>
  <si>
    <t>Product page</t>
  </si>
  <si>
    <t>Evidence screenshot</t>
  </si>
  <si>
    <t>ZX60-5123LN+</t>
  </si>
  <si>
    <t>RX LNA</t>
  </si>
  <si>
    <t>[1] RX front end</t>
  </si>
  <si>
    <t>5.5 - 12.5 GHz</t>
  </si>
  <si>
    <t>9.3 - 9.5 GHz</t>
  </si>
  <si>
    <t>+22.0 dB typ (19.0 min), 5.5-12.5 GHz</t>
  </si>
  <si>
    <t>RF Input Power (CW) +15 dBm</t>
  </si>
  <si>
    <t>Total power dissipation 1.2 W; DC +12 V</t>
  </si>
  <si>
    <t>p.3</t>
  </si>
  <si>
    <t>ZX60-5123LN+.pdf</t>
  </si>
  <si>
    <t>datasheets/ZX60-5123LN+.pdf</t>
  </si>
  <si>
    <t>minicircuits.com</t>
  </si>
  <si>
    <t>evidence/ZX60-5123LNplus_ratings_p3.png</t>
  </si>
  <si>
    <t>ZX05-14LH-S+</t>
  </si>
  <si>
    <t>RX down-mixer / TX up-mixer</t>
  </si>
  <si>
    <t>[1] RX mixer, [8] TX mixer</t>
  </si>
  <si>
    <t>RF+LO 3.7 - 10 GHz, IF DC - 4 GHz</t>
  </si>
  <si>
    <t>RF 9.3-9.5 GHz, LO 8.3 GHz, IF 1.0-1.2 GHz</t>
  </si>
  <si>
    <t>conv. loss 7.72 dB typ at RF 9400 MHz (6.7 dB band typ), LO +10 dBm</t>
  </si>
  <si>
    <t>RF Power 50 mW</t>
  </si>
  <si>
    <t>Level 10 mixer: LO drive +10 dBm</t>
  </si>
  <si>
    <t>p.1</t>
  </si>
  <si>
    <t>ZX05-14LH-S+.pdf</t>
  </si>
  <si>
    <t>datasheets/ZX05-14LH-S+.pdf</t>
  </si>
  <si>
    <t>evidence/ZX05-14LH-Splus_ratings_p1.png</t>
  </si>
  <si>
    <t>ZX60-14012L-S+</t>
  </si>
  <si>
    <t>LO buffer amplifier</t>
  </si>
  <si>
    <t>[2] LO chain</t>
  </si>
  <si>
    <t>0.3 MHz - 14 GHz</t>
  </si>
  <si>
    <t>8.3 GHz</t>
  </si>
  <si>
    <t>12.55 dB at 8.0 GHz, 11.85 dB at 9.0 GHz -&gt; approx 12.3 dB at 8.3 GHz</t>
  </si>
  <si>
    <t>Input Power (no Damage) 10 dBm</t>
  </si>
  <si>
    <t>Band-wide spec is +12 dB typ / 9 dB min; the page 2 table gives 12.55 dB at 8 GHz. NF 5.35 dB at 8 GHz</t>
  </si>
  <si>
    <t>ZX60-14012L-S+.pdf</t>
  </si>
  <si>
    <t>datasheets/ZX60-14012L-S+.pdf</t>
  </si>
  <si>
    <t>evidence/ZX60-14012L-Splus_ratings_p1.png</t>
  </si>
  <si>
    <t>ZX10-2-1252-S+</t>
  </si>
  <si>
    <t>LO 2-way splitter (DC pass)</t>
  </si>
  <si>
    <t>[2] LO split to both mixers</t>
  </si>
  <si>
    <t>1800 - 12500 MHz</t>
  </si>
  <si>
    <t>-3.0 dB split + 0.7 dB typ insertion loss</t>
  </si>
  <si>
    <t>Power Input (as a splitter) 1.85 W</t>
  </si>
  <si>
    <t>passive - n/a</t>
  </si>
  <si>
    <t>n/a</t>
  </si>
  <si>
    <t>Internal dissipation 0.85 W max; DC current 0.4 A max</t>
  </si>
  <si>
    <t>p.2</t>
  </si>
  <si>
    <t>ZX10-2-1252-S+.pdf</t>
  </si>
  <si>
    <t>datasheets/ZX10-2-1252-S+.pdf</t>
  </si>
  <si>
    <t>evidence/ZX10-2-1252-Splus_ratings_p2.png</t>
  </si>
  <si>
    <t>ZX60-P162LN+</t>
  </si>
  <si>
    <t>IF amplifier (preferred for 1.0-1.2 GHz)</t>
  </si>
  <si>
    <t>[3] IF chain</t>
  </si>
  <si>
    <t>0.7 - 1.6 GHz</t>
  </si>
  <si>
    <t>1.0 - 1.2 GHz</t>
  </si>
  <si>
    <t>21.81 dB at 1.1 GHz (22.49 at 1.0, 21.12 at 1.2 GHz)</t>
  </si>
  <si>
    <t>Input RF Power (No Damage) VD=+4 V: +25 dBm</t>
  </si>
  <si>
    <t>Noise figure 0.52 dB typ at 1.0 GHz; power consumption 0.55 W</t>
  </si>
  <si>
    <t>ZX60-P162LN+.pdf</t>
  </si>
  <si>
    <t>datasheets/ZX60-P162LN+.pdf</t>
  </si>
  <si>
    <t>evidence/ZX60-P162LNplus_ratings_p2.png</t>
  </si>
  <si>
    <t>ZX60-P103LN+</t>
  </si>
  <si>
    <t>IF amplifier (wideband alternate)</t>
  </si>
  <si>
    <t>[3] IF chain (alternate)</t>
  </si>
  <si>
    <t>50 - 3000 MHz</t>
  </si>
  <si>
    <t>+15.6 dB typ at 1000 MHz (13.5 min)</t>
  </si>
  <si>
    <t>Input RF Power (no damage): 21 dBm (50-2000 MHz), 26 dBm (2000-3000 MHz)</t>
  </si>
  <si>
    <t>Noise figure 0.5 dB typ at 1000 MHz; power consumption 0.66 W</t>
  </si>
  <si>
    <t>ZX60-P103LN+.pdf</t>
  </si>
  <si>
    <t>datasheets/ZX60-P103LN+.pdf</t>
  </si>
  <si>
    <t>evidence/ZX60-P103LNplus_ratings_p3.png</t>
  </si>
  <si>
    <t>ZX60-2534MA-S+</t>
  </si>
  <si>
    <t>IF amplifier (high gain alternate)</t>
  </si>
  <si>
    <t>0.5 - 2.5 GHz</t>
  </si>
  <si>
    <t>+43.5 dB typ at 1.0 GHz (at VD = 5 V)</t>
  </si>
  <si>
    <t>Input Power (no damage) -15 dBm</t>
  </si>
  <si>
    <t>LOWEST damage limit of any part here. Power dissipation 0.5 W; DC 5 V</t>
  </si>
  <si>
    <t>ZX60-2534MA-S+.pdf</t>
  </si>
  <si>
    <t>datasheets/ZX60-2534MA-S+.pdf</t>
  </si>
  <si>
    <t>evidence/ZX60-2534MA-Splus_ratings_p1.png</t>
  </si>
  <si>
    <t>ZFRSC-42-S+</t>
  </si>
  <si>
    <t>Resistive 2-way splitter (IF split and delay-line split)</t>
  </si>
  <si>
    <t>[3] IF split, [6] delay-line split</t>
  </si>
  <si>
    <t>DC - 4200 MHz</t>
  </si>
  <si>
    <t>-6.0 dB total loss (5.99 / 6.02 dB at 1000 MHz)</t>
  </si>
  <si>
    <t>Power Input (as a splitter) 0.75 W</t>
  </si>
  <si>
    <t>Internal dissipation 0.375 W max. Resistive: isolation equals insertion loss (~6 dB)</t>
  </si>
  <si>
    <t>ZFRSC-42-S+.pdf</t>
  </si>
  <si>
    <t>datasheets/ZFRSC-42-S+.pdf</t>
  </si>
  <si>
    <t>evidence/ZFRSC-42-Splus_ratings_p1.png</t>
  </si>
  <si>
    <t>ZX05-30W-S+</t>
  </si>
  <si>
    <t>Phase detector (delay-line mixer)</t>
  </si>
  <si>
    <t>[6] phase detector</t>
  </si>
  <si>
    <t>RF+LO 300 - 4000 MHz, IF DC - 950 MHz</t>
  </si>
  <si>
    <t>RF+LO 1.0-1.2 GHz, IF = DC</t>
  </si>
  <si>
    <t>conv. loss 6.22 dB typ at RF 944 MHz (6.8 dB band typ), LO +7 dBm</t>
  </si>
  <si>
    <t>Level 7 mixer: LO drive +7 dBm. IF current 40 mA max</t>
  </si>
  <si>
    <t>ZX05-30W-S+.pdf</t>
  </si>
  <si>
    <t>datasheets/ZX05-30W-S+.pdf</t>
  </si>
  <si>
    <t>evidence/ZX05-30W-Splus_ratings_p1.png</t>
  </si>
  <si>
    <t>Damage limit = the level that destroys the part (absolute maximum rating). P1dB = where it stops being linear, well below damage. mW columns are formulas: =10^(dBm/10).</t>
  </si>
  <si>
    <t>Every value was extracted from the PDF in datasheets/ at the page in column M. Orange row = lowest damage limit in the set; see the Headroom tab.</t>
  </si>
  <si>
    <t>Part</t>
  </si>
  <si>
    <t>Expected worst-case input</t>
  </si>
  <si>
    <t>Expected level (dBm)</t>
  </si>
  <si>
    <t>Margin (dB)</t>
  </si>
  <si>
    <t>Verdict</t>
  </si>
  <si>
    <t>Action</t>
  </si>
  <si>
    <t>ZX60-5123LN+ (LNA)</t>
  </si>
  <si>
    <t>limiter output while the limiter clamps</t>
  </si>
  <si>
    <t>Keep the in-line attenuator the drawing calls for.</t>
  </si>
  <si>
    <t>ZX05-14LH-S+ (RX mixer)</t>
  </si>
  <si>
    <t>LNA saturated output at close range</t>
  </si>
  <si>
    <t>Marginal at close range; the same pad fixes this.</t>
  </si>
  <si>
    <t>ZX60-P162LN+ (IF amp)</t>
  </si>
  <si>
    <t>mixer IF output, worst case</t>
  </si>
  <si>
    <t>Fine.</t>
  </si>
  <si>
    <t>ZX60-P103LN+ (IF amp)</t>
  </si>
  <si>
    <t>ZX60-2534MA-S+ (IF amp)</t>
  </si>
  <si>
    <t>Do not put this straight after the mixer.</t>
  </si>
  <si>
    <t>ZFRSC-42-S+ (both units)</t>
  </si>
  <si>
    <t>IF amp output, saturated</t>
  </si>
  <si>
    <t>ZX05-30W-S+ (phase detector)</t>
  </si>
  <si>
    <t>limiting-amp chain, per port</t>
  </si>
  <si>
    <t>Above the +1 dBm compression point, which is intended here.</t>
  </si>
  <si>
    <t>ZX60-14012L-S+ (LO buffer)</t>
  </si>
  <si>
    <t>PLL output (assumed +3 dBm)</t>
  </si>
  <si>
    <t>Confirm your ADF5355 output level.</t>
  </si>
  <si>
    <t>ZX10-2-1252-S+ (LO splitter)</t>
  </si>
  <si>
    <t>LO buffer output</t>
  </si>
  <si>
    <t>Expected levels are simulated (LTspice, simulations/claude/01_jacon_system), not measured. Margin and verdict are formulas, so edit column C with your own measured levels and the verdicts update.</t>
  </si>
  <si>
    <t>What it proves</t>
  </si>
  <si>
    <t>Screenshot file</t>
  </si>
  <si>
    <t>Source PDF (online)</t>
  </si>
  <si>
    <t>ABSOLUTE MAXIMUM RATINGS: RF Input Power (CW) = +15 dBm</t>
  </si>
  <si>
    <t>ELECTRICAL SPECIFICATIONS: gain 22.0 dB typ, P1dB +17.0 dBm typ</t>
  </si>
  <si>
    <t>evidence/ZX60-5123LNplus_compression_p1.png</t>
  </si>
  <si>
    <t>Maximum Ratings: RF Power = 50 mW</t>
  </si>
  <si>
    <t>1 dB COMPR.: +5 dBm typ (LO +10 dBm)</t>
  </si>
  <si>
    <t>evidence/ZX05-14LH-Splus_compression_p1.png</t>
  </si>
  <si>
    <t>Typical Performance Data: conversion loss 7.72 dB at RF 9400 MHz (band typ is 6.7 dB)</t>
  </si>
  <si>
    <t>evidence/ZX05-14LH-Splus_typperf_p1.png</t>
  </si>
  <si>
    <t>Maximum Ratings: Input Power (no Damage) = 10 dBm</t>
  </si>
  <si>
    <t>Electrical Specifications: gain 12 dB typ, output P1dB +11 dBm typ</t>
  </si>
  <si>
    <t>evidence/ZX60-14012L-Splus_compression_p1.png</t>
  </si>
  <si>
    <t>Typical Performance Data: 12.55 dB gain at 8000 MHz, 11.85 dB at 9000 MHz (8.3 GHz falls between)</t>
  </si>
  <si>
    <t>evidence/ZX60-14012L-Splus_typperf_p2.png</t>
  </si>
  <si>
    <t>Maximum Ratings: Power Input (as a splitter) = 1.85 W</t>
  </si>
  <si>
    <t>ABSOLUTE MAXIMUM RATINGS: Input RF Power (No Damage) = +25 dBm</t>
  </si>
  <si>
    <t>ELECTRICAL SPECIFICATIONS: gain and output P1dB vs frequency</t>
  </si>
  <si>
    <t>evidence/ZX60-P162LNplus_compression_p2.png</t>
  </si>
  <si>
    <t>Typical Performance Data: 21.81 dB gain and +19.9 dBm P1dB at 1100 MHz</t>
  </si>
  <si>
    <t>evidence/ZX60-P162LNplus_typperf_p4.png</t>
  </si>
  <si>
    <t>ABSOLUTE MAXIMUM RATINGS: Input RF Power (no damage) = 21 dBm at 50-2000 MHz</t>
  </si>
  <si>
    <t>ELECTRICAL SPECIFICATIONS: gain 15.6 dB typ and P1dB +22.4 dBm typ at 1000 MHz</t>
  </si>
  <si>
    <t>evidence/ZX60-P103LNplus_compression_p2.png</t>
  </si>
  <si>
    <t>Maximum Ratings: Input Power (no damage) = -15 dBm</t>
  </si>
  <si>
    <t>Electrical Specifications: gain over frequency, output P1dB</t>
  </si>
  <si>
    <t>evidence/ZX60-2534MA-Splus_compression_p1.png</t>
  </si>
  <si>
    <t>Maximum Ratings: Power Input (as a splitter) = 0.75 W, internal dissipation 0.375 W</t>
  </si>
  <si>
    <t>Maximum Ratings: RF Power = 50 mW, IF Current = 40 mA</t>
  </si>
  <si>
    <t>1 dB COMP.: +1 dBm typ; conversion loss 6.8 dB typ at LO +7 dBm</t>
  </si>
  <si>
    <t>evidence/ZX05-30W-Splus_compression_p1.png</t>
  </si>
  <si>
    <t>Typical Performance Data: conversion loss 6.22 dB at RF 944 MHz, closest tabulated point to our 1.0-1.2 GHz</t>
  </si>
  <si>
    <t>evidence/ZX05-30W-Splus_typperf_p1.png</t>
  </si>
  <si>
    <t>Each screenshot was cropped directly from the PDF in datasheets/ at the listed page. Open the PDF at that page to check the value yourself.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</si>
</sst>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\+0.00;\-0.00"/>
    <numFmt numFmtId="166" formatCode="\+0.0;\-0.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i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5FBF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166" fontId="1" fillId="0" borderId="1" xfId="0" applyNumberFormat="1" applyFont="1" applyBorder="1" applyAlignment="1">
      <alignment vertical="top" wrapText="1"/>
    </xf>
    <xf numFmtId="167" fontId="1" fillId="0" borderId="1" xfId="0" applyNumberFormat="1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65" fontId="1" fillId="3" borderId="1" xfId="0" applyNumberFormat="1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166" fontId="1" fillId="3" borderId="1" xfId="0" applyNumberFormat="1" applyFont="1" applyFill="1" applyBorder="1" applyAlignment="1">
      <alignment vertical="top" wrapText="1"/>
    </xf>
    <xf numFmtId="167" fontId="1" fillId="3" borderId="1" xfId="0" applyNumberFormat="1" applyFont="1" applyFill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datasheets/ZX60-14012L-S+.pdf" TargetMode="External"/><Relationship Id="rId13" Type="http://schemas.openxmlformats.org/officeDocument/2006/relationships/hyperlink" Target="https://www.minicircuits.com/pdfs/ZX60-P162LN%2B.pdf" TargetMode="External"/><Relationship Id="rId18" Type="http://schemas.openxmlformats.org/officeDocument/2006/relationships/hyperlink" Target="https://www.minicircuits.com/WebStore/dashboard.html?model=ZX60-P103LN%2B" TargetMode="External"/><Relationship Id="rId26" Type="http://schemas.openxmlformats.org/officeDocument/2006/relationships/hyperlink" Target="datasheets/ZX05-30W-S+.pdf" TargetMode="External"/><Relationship Id="rId3" Type="http://schemas.openxmlformats.org/officeDocument/2006/relationships/hyperlink" Target="https://www.minicircuits.com/WebStore/dashboard.html?model=ZX60-5123LN%2B" TargetMode="External"/><Relationship Id="rId21" Type="http://schemas.openxmlformats.org/officeDocument/2006/relationships/hyperlink" Target="https://www.minicircuits.com/WebStore/dashboard.html?model=ZX60-2534MA-S%2B" TargetMode="External"/><Relationship Id="rId7" Type="http://schemas.openxmlformats.org/officeDocument/2006/relationships/hyperlink" Target="https://www.minicircuits.com/pdfs/ZX60-14012L-S%2B.pdf" TargetMode="External"/><Relationship Id="rId12" Type="http://schemas.openxmlformats.org/officeDocument/2006/relationships/hyperlink" Target="https://www.minicircuits.com/WebStore/dashboard.html?model=ZX10-2-1252-S%2B" TargetMode="External"/><Relationship Id="rId17" Type="http://schemas.openxmlformats.org/officeDocument/2006/relationships/hyperlink" Target="datasheets/ZX60-P103LN+.pdf" TargetMode="External"/><Relationship Id="rId25" Type="http://schemas.openxmlformats.org/officeDocument/2006/relationships/hyperlink" Target="https://www.minicircuits.com/pdfs/ZX05-30W-S%2B.pdf" TargetMode="External"/><Relationship Id="rId2" Type="http://schemas.openxmlformats.org/officeDocument/2006/relationships/hyperlink" Target="datasheets/ZX60-5123LN+.pdf" TargetMode="External"/><Relationship Id="rId16" Type="http://schemas.openxmlformats.org/officeDocument/2006/relationships/hyperlink" Target="https://www.minicircuits.com/pdfs/ZX60-P103LN%2B.pdf" TargetMode="External"/><Relationship Id="rId20" Type="http://schemas.openxmlformats.org/officeDocument/2006/relationships/hyperlink" Target="datasheets/ZX60-2534MA-S+.pdf" TargetMode="External"/><Relationship Id="rId1" Type="http://schemas.openxmlformats.org/officeDocument/2006/relationships/hyperlink" Target="https://www.minicircuits.com/pdfs/ZX60-5123LN%2B.pdf" TargetMode="External"/><Relationship Id="rId6" Type="http://schemas.openxmlformats.org/officeDocument/2006/relationships/hyperlink" Target="https://www.minicircuits.com/WebStore/dashboard.html?model=ZX05-14LH-S%2B" TargetMode="External"/><Relationship Id="rId11" Type="http://schemas.openxmlformats.org/officeDocument/2006/relationships/hyperlink" Target="datasheets/ZX10-2-1252-S+.pdf" TargetMode="External"/><Relationship Id="rId24" Type="http://schemas.openxmlformats.org/officeDocument/2006/relationships/hyperlink" Target="https://www.minicircuits.com/WebStore/dashboard.html?model=ZFRSC-42-S%2B" TargetMode="External"/><Relationship Id="rId5" Type="http://schemas.openxmlformats.org/officeDocument/2006/relationships/hyperlink" Target="datasheets/ZX05-14LH-S+.pdf" TargetMode="External"/><Relationship Id="rId15" Type="http://schemas.openxmlformats.org/officeDocument/2006/relationships/hyperlink" Target="https://www.minicircuits.com/WebStore/dashboard.html?model=ZX60-P162LN%2B" TargetMode="External"/><Relationship Id="rId23" Type="http://schemas.openxmlformats.org/officeDocument/2006/relationships/hyperlink" Target="datasheets/ZFRSC-42-S+.pdf" TargetMode="External"/><Relationship Id="rId10" Type="http://schemas.openxmlformats.org/officeDocument/2006/relationships/hyperlink" Target="https://www.minicircuits.com/pdfs/ZX10-2-1252-S%2B.pdf" TargetMode="External"/><Relationship Id="rId19" Type="http://schemas.openxmlformats.org/officeDocument/2006/relationships/hyperlink" Target="https://www.minicircuits.com/pdfs/ZX60-2534MA-S%2B.pdf" TargetMode="External"/><Relationship Id="rId4" Type="http://schemas.openxmlformats.org/officeDocument/2006/relationships/hyperlink" Target="https://www.minicircuits.com/pdfs/ZX05-14LH-S%2B.pdf" TargetMode="External"/><Relationship Id="rId9" Type="http://schemas.openxmlformats.org/officeDocument/2006/relationships/hyperlink" Target="https://www.minicircuits.com/WebStore/dashboard.html?model=ZX60-14012L-S%2B" TargetMode="External"/><Relationship Id="rId14" Type="http://schemas.openxmlformats.org/officeDocument/2006/relationships/hyperlink" Target="datasheets/ZX60-P162LN+.pdf" TargetMode="External"/><Relationship Id="rId22" Type="http://schemas.openxmlformats.org/officeDocument/2006/relationships/hyperlink" Target="https://www.minicircuits.com/pdfs/ZFRSC-42-S%2B.pdf" TargetMode="External"/><Relationship Id="rId27" Type="http://schemas.openxmlformats.org/officeDocument/2006/relationships/hyperlink" Target="https://www.minicircuits.com/WebStore/dashboard.html?model=ZX05-30W-S%2B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inicircuits.com/pdfs/ZX60-14012L-S%2B.pdf" TargetMode="External"/><Relationship Id="rId18" Type="http://schemas.openxmlformats.org/officeDocument/2006/relationships/hyperlink" Target="datasheets/ZX10-2-1252-S+.pdf" TargetMode="External"/><Relationship Id="rId26" Type="http://schemas.openxmlformats.org/officeDocument/2006/relationships/hyperlink" Target="datasheets/ZX60-P103LN+.pdf" TargetMode="External"/><Relationship Id="rId39" Type="http://schemas.openxmlformats.org/officeDocument/2006/relationships/hyperlink" Target="https://www.minicircuits.com/pdfs/ZX05-30W-S%2B.pdf" TargetMode="External"/><Relationship Id="rId21" Type="http://schemas.openxmlformats.org/officeDocument/2006/relationships/hyperlink" Target="https://www.minicircuits.com/pdfs/ZX60-P162LN%2B.pdf" TargetMode="External"/><Relationship Id="rId34" Type="http://schemas.openxmlformats.org/officeDocument/2006/relationships/hyperlink" Target="datasheets/ZFRSC-42-S+.pdf" TargetMode="External"/><Relationship Id="rId7" Type="http://schemas.openxmlformats.org/officeDocument/2006/relationships/hyperlink" Target="https://www.minicircuits.com/pdfs/ZX05-14LH-S%2B.pdf" TargetMode="External"/><Relationship Id="rId12" Type="http://schemas.openxmlformats.org/officeDocument/2006/relationships/hyperlink" Target="datasheets/ZX60-14012L-S+.pdf" TargetMode="External"/><Relationship Id="rId17" Type="http://schemas.openxmlformats.org/officeDocument/2006/relationships/hyperlink" Target="https://www.minicircuits.com/pdfs/ZX10-2-1252-S%2B.pdf" TargetMode="External"/><Relationship Id="rId25" Type="http://schemas.openxmlformats.org/officeDocument/2006/relationships/hyperlink" Target="https://www.minicircuits.com/pdfs/ZX60-P103LN%2B.pdf" TargetMode="External"/><Relationship Id="rId33" Type="http://schemas.openxmlformats.org/officeDocument/2006/relationships/hyperlink" Target="https://www.minicircuits.com/pdfs/ZFRSC-42-S%2B.pdf" TargetMode="External"/><Relationship Id="rId38" Type="http://schemas.openxmlformats.org/officeDocument/2006/relationships/hyperlink" Target="datasheets/ZX05-30W-S+.pdf" TargetMode="External"/><Relationship Id="rId2" Type="http://schemas.openxmlformats.org/officeDocument/2006/relationships/hyperlink" Target="datasheets/ZX60-5123LN+.pdf" TargetMode="External"/><Relationship Id="rId16" Type="http://schemas.openxmlformats.org/officeDocument/2006/relationships/hyperlink" Target="datasheets/ZX60-14012L-S+.pdf" TargetMode="External"/><Relationship Id="rId20" Type="http://schemas.openxmlformats.org/officeDocument/2006/relationships/hyperlink" Target="datasheets/ZX60-P162LN+.pdf" TargetMode="External"/><Relationship Id="rId29" Type="http://schemas.openxmlformats.org/officeDocument/2006/relationships/hyperlink" Target="https://www.minicircuits.com/pdfs/ZX60-2534MA-S%2B.pdf" TargetMode="External"/><Relationship Id="rId1" Type="http://schemas.openxmlformats.org/officeDocument/2006/relationships/hyperlink" Target="https://www.minicircuits.com/pdfs/ZX60-5123LN%2B.pdf" TargetMode="External"/><Relationship Id="rId6" Type="http://schemas.openxmlformats.org/officeDocument/2006/relationships/hyperlink" Target="datasheets/ZX05-14LH-S+.pdf" TargetMode="External"/><Relationship Id="rId11" Type="http://schemas.openxmlformats.org/officeDocument/2006/relationships/hyperlink" Target="https://www.minicircuits.com/pdfs/ZX60-14012L-S%2B.pdf" TargetMode="External"/><Relationship Id="rId24" Type="http://schemas.openxmlformats.org/officeDocument/2006/relationships/hyperlink" Target="datasheets/ZX60-P162LN+.pdf" TargetMode="External"/><Relationship Id="rId32" Type="http://schemas.openxmlformats.org/officeDocument/2006/relationships/hyperlink" Target="datasheets/ZX60-2534MA-S+.pdf" TargetMode="External"/><Relationship Id="rId37" Type="http://schemas.openxmlformats.org/officeDocument/2006/relationships/hyperlink" Target="https://www.minicircuits.com/pdfs/ZX05-30W-S%2B.pdf" TargetMode="External"/><Relationship Id="rId40" Type="http://schemas.openxmlformats.org/officeDocument/2006/relationships/hyperlink" Target="datasheets/ZX05-30W-S+.pdf" TargetMode="External"/><Relationship Id="rId5" Type="http://schemas.openxmlformats.org/officeDocument/2006/relationships/hyperlink" Target="https://www.minicircuits.com/pdfs/ZX05-14LH-S%2B.pdf" TargetMode="External"/><Relationship Id="rId15" Type="http://schemas.openxmlformats.org/officeDocument/2006/relationships/hyperlink" Target="https://www.minicircuits.com/pdfs/ZX60-14012L-S%2B.pdf" TargetMode="External"/><Relationship Id="rId23" Type="http://schemas.openxmlformats.org/officeDocument/2006/relationships/hyperlink" Target="https://www.minicircuits.com/pdfs/ZX60-P162LN%2B.pdf" TargetMode="External"/><Relationship Id="rId28" Type="http://schemas.openxmlformats.org/officeDocument/2006/relationships/hyperlink" Target="datasheets/ZX60-P103LN+.pdf" TargetMode="External"/><Relationship Id="rId36" Type="http://schemas.openxmlformats.org/officeDocument/2006/relationships/hyperlink" Target="datasheets/ZX05-30W-S+.pdf" TargetMode="External"/><Relationship Id="rId10" Type="http://schemas.openxmlformats.org/officeDocument/2006/relationships/hyperlink" Target="datasheets/ZX05-14LH-S+.pdf" TargetMode="External"/><Relationship Id="rId19" Type="http://schemas.openxmlformats.org/officeDocument/2006/relationships/hyperlink" Target="https://www.minicircuits.com/pdfs/ZX60-P162LN%2B.pdf" TargetMode="External"/><Relationship Id="rId31" Type="http://schemas.openxmlformats.org/officeDocument/2006/relationships/hyperlink" Target="https://www.minicircuits.com/pdfs/ZX60-2534MA-S%2B.pdf" TargetMode="External"/><Relationship Id="rId4" Type="http://schemas.openxmlformats.org/officeDocument/2006/relationships/hyperlink" Target="datasheets/ZX60-5123LN+.pdf" TargetMode="External"/><Relationship Id="rId9" Type="http://schemas.openxmlformats.org/officeDocument/2006/relationships/hyperlink" Target="https://www.minicircuits.com/pdfs/ZX05-14LH-S%2B.pdf" TargetMode="External"/><Relationship Id="rId14" Type="http://schemas.openxmlformats.org/officeDocument/2006/relationships/hyperlink" Target="datasheets/ZX60-14012L-S+.pdf" TargetMode="External"/><Relationship Id="rId22" Type="http://schemas.openxmlformats.org/officeDocument/2006/relationships/hyperlink" Target="datasheets/ZX60-P162LN+.pdf" TargetMode="External"/><Relationship Id="rId27" Type="http://schemas.openxmlformats.org/officeDocument/2006/relationships/hyperlink" Target="https://www.minicircuits.com/pdfs/ZX60-P103LN%2B.pdf" TargetMode="External"/><Relationship Id="rId30" Type="http://schemas.openxmlformats.org/officeDocument/2006/relationships/hyperlink" Target="datasheets/ZX60-2534MA-S+.pdf" TargetMode="External"/><Relationship Id="rId35" Type="http://schemas.openxmlformats.org/officeDocument/2006/relationships/hyperlink" Target="https://www.minicircuits.com/pdfs/ZX05-30W-S%2B.pdf" TargetMode="External"/><Relationship Id="rId8" Type="http://schemas.openxmlformats.org/officeDocument/2006/relationships/hyperlink" Target="datasheets/ZX05-14LH-S+.pdf" TargetMode="External"/><Relationship Id="rId3" Type="http://schemas.openxmlformats.org/officeDocument/2006/relationships/hyperlink" Target="https://www.minicircuits.com/pdfs/ZX60-5123LN%2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26" customWidth="1"/>
    <col min="3" max="4" width="22" customWidth="1"/>
    <col min="5" max="5" width="24" customWidth="1"/>
    <col min="6" max="6" width="30" customWidth="1"/>
    <col min="7" max="7" width="34" customWidth="1"/>
    <col min="8" max="9" width="11" customWidth="1"/>
    <col min="10" max="10" width="13" customWidth="1"/>
    <col min="11" max="11" width="9" customWidth="1"/>
    <col min="12" max="12" width="34" customWidth="1"/>
    <col min="13" max="13" width="8" customWidth="1"/>
    <col min="14" max="14" width="20" customWidth="1"/>
    <col min="15" max="15" width="26" customWidth="1"/>
    <col min="16" max="16" width="15" customWidth="1"/>
    <col min="17" max="17" width="34" customWidth="1"/>
  </cols>
  <sheetData>
    <row r="1" spans="1:1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6.4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>
        <v>15</v>
      </c>
      <c r="I2" s="4">
        <f t="shared" ref="I2:I10" si="0">10^(H2/10)</f>
        <v>31.622776601683803</v>
      </c>
      <c r="J2" s="5">
        <v>17</v>
      </c>
      <c r="K2" s="6">
        <f>10^(J2/10)</f>
        <v>50.118723362727238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spans="1:17" ht="39.6" x14ac:dyDescent="0.3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3">
        <v>16.989999999999998</v>
      </c>
      <c r="I3" s="4">
        <f t="shared" si="0"/>
        <v>50.003453497697848</v>
      </c>
      <c r="J3" s="5">
        <v>5</v>
      </c>
      <c r="K3" s="6">
        <f>10^(J3/10)</f>
        <v>3.1622776601683795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28</v>
      </c>
      <c r="Q3" s="2" t="s">
        <v>41</v>
      </c>
    </row>
    <row r="4" spans="1:17" ht="39.6" x14ac:dyDescent="0.3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3">
        <v>10</v>
      </c>
      <c r="I4" s="4">
        <f t="shared" si="0"/>
        <v>10</v>
      </c>
      <c r="J4" s="5">
        <v>11</v>
      </c>
      <c r="K4" s="6">
        <f>10^(J4/10)</f>
        <v>12.58925411794168</v>
      </c>
      <c r="L4" s="2" t="s">
        <v>49</v>
      </c>
      <c r="M4" s="2" t="s">
        <v>38</v>
      </c>
      <c r="N4" s="2" t="s">
        <v>50</v>
      </c>
      <c r="O4" s="2" t="s">
        <v>51</v>
      </c>
      <c r="P4" s="2" t="s">
        <v>28</v>
      </c>
      <c r="Q4" s="2" t="s">
        <v>52</v>
      </c>
    </row>
    <row r="5" spans="1:17" ht="26.4" x14ac:dyDescent="0.3">
      <c r="A5" s="2" t="s">
        <v>53</v>
      </c>
      <c r="B5" s="2" t="s">
        <v>54</v>
      </c>
      <c r="C5" s="2" t="s">
        <v>55</v>
      </c>
      <c r="D5" s="2" t="s">
        <v>56</v>
      </c>
      <c r="E5" s="2" t="s">
        <v>46</v>
      </c>
      <c r="F5" s="2" t="s">
        <v>57</v>
      </c>
      <c r="G5" s="2" t="s">
        <v>58</v>
      </c>
      <c r="H5" s="3">
        <v>32.67</v>
      </c>
      <c r="I5" s="4">
        <f t="shared" si="0"/>
        <v>1849.2686189780807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28</v>
      </c>
      <c r="Q5" s="2" t="s">
        <v>65</v>
      </c>
    </row>
    <row r="6" spans="1:17" ht="26.4" x14ac:dyDescent="0.3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3">
        <v>25</v>
      </c>
      <c r="I6" s="4">
        <f t="shared" si="0"/>
        <v>316.22776601683825</v>
      </c>
      <c r="J6" s="5">
        <v>19.899999999999999</v>
      </c>
      <c r="K6" s="6">
        <f>10^(J6/10)</f>
        <v>97.723722095581039</v>
      </c>
      <c r="L6" s="2" t="s">
        <v>73</v>
      </c>
      <c r="M6" s="2" t="s">
        <v>62</v>
      </c>
      <c r="N6" s="2" t="s">
        <v>74</v>
      </c>
      <c r="O6" s="2" t="s">
        <v>75</v>
      </c>
      <c r="P6" s="2" t="s">
        <v>28</v>
      </c>
      <c r="Q6" s="2" t="s">
        <v>76</v>
      </c>
    </row>
    <row r="7" spans="1:17" ht="39.6" x14ac:dyDescent="0.3">
      <c r="A7" s="2" t="s">
        <v>77</v>
      </c>
      <c r="B7" s="2" t="s">
        <v>78</v>
      </c>
      <c r="C7" s="2" t="s">
        <v>79</v>
      </c>
      <c r="D7" s="2" t="s">
        <v>80</v>
      </c>
      <c r="E7" s="2" t="s">
        <v>70</v>
      </c>
      <c r="F7" s="2" t="s">
        <v>81</v>
      </c>
      <c r="G7" s="2" t="s">
        <v>82</v>
      </c>
      <c r="H7" s="3">
        <v>21</v>
      </c>
      <c r="I7" s="4">
        <f t="shared" si="0"/>
        <v>125.89254117941677</v>
      </c>
      <c r="J7" s="5">
        <v>22.4</v>
      </c>
      <c r="K7" s="6">
        <f>10^(J7/10)</f>
        <v>173.78008287493753</v>
      </c>
      <c r="L7" s="2" t="s">
        <v>83</v>
      </c>
      <c r="M7" s="2" t="s">
        <v>25</v>
      </c>
      <c r="N7" s="2" t="s">
        <v>84</v>
      </c>
      <c r="O7" s="2" t="s">
        <v>85</v>
      </c>
      <c r="P7" s="2" t="s">
        <v>28</v>
      </c>
      <c r="Q7" s="2" t="s">
        <v>86</v>
      </c>
    </row>
    <row r="8" spans="1:17" ht="26.4" x14ac:dyDescent="0.3">
      <c r="A8" s="7" t="s">
        <v>87</v>
      </c>
      <c r="B8" s="7" t="s">
        <v>88</v>
      </c>
      <c r="C8" s="7" t="s">
        <v>79</v>
      </c>
      <c r="D8" s="7" t="s">
        <v>89</v>
      </c>
      <c r="E8" s="7" t="s">
        <v>70</v>
      </c>
      <c r="F8" s="7" t="s">
        <v>90</v>
      </c>
      <c r="G8" s="7" t="s">
        <v>91</v>
      </c>
      <c r="H8" s="8">
        <v>-15</v>
      </c>
      <c r="I8" s="9">
        <f t="shared" si="0"/>
        <v>3.1622776601683784E-2</v>
      </c>
      <c r="J8" s="10">
        <v>19</v>
      </c>
      <c r="K8" s="11">
        <f>10^(J8/10)</f>
        <v>79.432823472428197</v>
      </c>
      <c r="L8" s="7" t="s">
        <v>92</v>
      </c>
      <c r="M8" s="7" t="s">
        <v>38</v>
      </c>
      <c r="N8" s="7" t="s">
        <v>93</v>
      </c>
      <c r="O8" s="7" t="s">
        <v>94</v>
      </c>
      <c r="P8" s="7" t="s">
        <v>28</v>
      </c>
      <c r="Q8" s="7" t="s">
        <v>95</v>
      </c>
    </row>
    <row r="9" spans="1:17" ht="39.6" x14ac:dyDescent="0.3">
      <c r="A9" s="2" t="s">
        <v>96</v>
      </c>
      <c r="B9" s="2" t="s">
        <v>97</v>
      </c>
      <c r="C9" s="2" t="s">
        <v>98</v>
      </c>
      <c r="D9" s="2" t="s">
        <v>99</v>
      </c>
      <c r="E9" s="2" t="s">
        <v>70</v>
      </c>
      <c r="F9" s="2" t="s">
        <v>100</v>
      </c>
      <c r="G9" s="2" t="s">
        <v>101</v>
      </c>
      <c r="H9" s="3">
        <v>28.75</v>
      </c>
      <c r="I9" s="4">
        <f t="shared" si="0"/>
        <v>749.89420933245651</v>
      </c>
      <c r="J9" s="2" t="s">
        <v>59</v>
      </c>
      <c r="K9" s="2" t="s">
        <v>60</v>
      </c>
      <c r="L9" s="2" t="s">
        <v>102</v>
      </c>
      <c r="M9" s="2" t="s">
        <v>38</v>
      </c>
      <c r="N9" s="2" t="s">
        <v>103</v>
      </c>
      <c r="O9" s="2" t="s">
        <v>104</v>
      </c>
      <c r="P9" s="2" t="s">
        <v>28</v>
      </c>
      <c r="Q9" s="2" t="s">
        <v>105</v>
      </c>
    </row>
    <row r="10" spans="1:17" ht="39.6" x14ac:dyDescent="0.3">
      <c r="A10" s="2" t="s">
        <v>106</v>
      </c>
      <c r="B10" s="2" t="s">
        <v>107</v>
      </c>
      <c r="C10" s="2" t="s">
        <v>108</v>
      </c>
      <c r="D10" s="2" t="s">
        <v>109</v>
      </c>
      <c r="E10" s="2" t="s">
        <v>110</v>
      </c>
      <c r="F10" s="2" t="s">
        <v>111</v>
      </c>
      <c r="G10" s="2" t="s">
        <v>36</v>
      </c>
      <c r="H10" s="3">
        <v>16.989999999999998</v>
      </c>
      <c r="I10" s="4">
        <f t="shared" si="0"/>
        <v>50.003453497697848</v>
      </c>
      <c r="J10" s="5">
        <v>1</v>
      </c>
      <c r="K10" s="6">
        <f>10^(J10/10)</f>
        <v>1.2589254117941673</v>
      </c>
      <c r="L10" s="2" t="s">
        <v>112</v>
      </c>
      <c r="M10" s="2" t="s">
        <v>38</v>
      </c>
      <c r="N10" s="2" t="s">
        <v>113</v>
      </c>
      <c r="O10" s="2" t="s">
        <v>114</v>
      </c>
      <c r="P10" s="2" t="s">
        <v>28</v>
      </c>
      <c r="Q10" s="2" t="s">
        <v>115</v>
      </c>
    </row>
    <row r="12" spans="1:17" x14ac:dyDescent="0.3">
      <c r="A12" s="12" t="s">
        <v>116</v>
      </c>
    </row>
    <row r="13" spans="1:17" x14ac:dyDescent="0.3">
      <c r="A13" s="12" t="s">
        <v>117</v>
      </c>
    </row>
  </sheetData>
  <autoFilter ref="A1:Q10" xr:uid="{00000000-0009-0000-0000-000000000000}"/>
  <hyperlinks>
    <hyperlink ref="N2" r:id="rId1" xr:uid="{00000000-0004-0000-0000-000000000000}"/>
    <hyperlink ref="O2" r:id="rId2" xr:uid="{00000000-0004-0000-0000-000001000000}"/>
    <hyperlink ref="P2" r:id="rId3" xr:uid="{00000000-0004-0000-0000-000002000000}"/>
    <hyperlink ref="N3" r:id="rId4" xr:uid="{00000000-0004-0000-0000-000003000000}"/>
    <hyperlink ref="O3" r:id="rId5" xr:uid="{00000000-0004-0000-0000-000004000000}"/>
    <hyperlink ref="P3" r:id="rId6" xr:uid="{00000000-0004-0000-0000-000005000000}"/>
    <hyperlink ref="N4" r:id="rId7" xr:uid="{00000000-0004-0000-0000-000006000000}"/>
    <hyperlink ref="O4" r:id="rId8" xr:uid="{00000000-0004-0000-0000-000007000000}"/>
    <hyperlink ref="P4" r:id="rId9" xr:uid="{00000000-0004-0000-0000-000008000000}"/>
    <hyperlink ref="N5" r:id="rId10" xr:uid="{00000000-0004-0000-0000-000009000000}"/>
    <hyperlink ref="O5" r:id="rId11" xr:uid="{00000000-0004-0000-0000-00000A000000}"/>
    <hyperlink ref="P5" r:id="rId12" xr:uid="{00000000-0004-0000-0000-00000B000000}"/>
    <hyperlink ref="N6" r:id="rId13" xr:uid="{00000000-0004-0000-0000-00000C000000}"/>
    <hyperlink ref="O6" r:id="rId14" xr:uid="{00000000-0004-0000-0000-00000D000000}"/>
    <hyperlink ref="P6" r:id="rId15" xr:uid="{00000000-0004-0000-0000-00000E000000}"/>
    <hyperlink ref="N7" r:id="rId16" xr:uid="{00000000-0004-0000-0000-00000F000000}"/>
    <hyperlink ref="O7" r:id="rId17" xr:uid="{00000000-0004-0000-0000-000010000000}"/>
    <hyperlink ref="P7" r:id="rId18" xr:uid="{00000000-0004-0000-0000-000011000000}"/>
    <hyperlink ref="N8" r:id="rId19" xr:uid="{00000000-0004-0000-0000-000012000000}"/>
    <hyperlink ref="O8" r:id="rId20" xr:uid="{00000000-0004-0000-0000-000013000000}"/>
    <hyperlink ref="P8" r:id="rId21" xr:uid="{00000000-0004-0000-0000-000014000000}"/>
    <hyperlink ref="N9" r:id="rId22" xr:uid="{00000000-0004-0000-0000-000015000000}"/>
    <hyperlink ref="O9" r:id="rId23" xr:uid="{00000000-0004-0000-0000-000016000000}"/>
    <hyperlink ref="P9" r:id="rId24" xr:uid="{00000000-0004-0000-0000-000017000000}"/>
    <hyperlink ref="N10" r:id="rId25" xr:uid="{00000000-0004-0000-0000-000018000000}"/>
    <hyperlink ref="O10" r:id="rId26" xr:uid="{00000000-0004-0000-0000-000019000000}"/>
    <hyperlink ref="P10" r:id="rId27" xr:uid="{00000000-0004-0000-0000-00001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4" customWidth="1"/>
    <col min="3" max="4" width="17" customWidth="1"/>
    <col min="5" max="5" width="12" customWidth="1"/>
    <col min="6" max="6" width="13" customWidth="1"/>
    <col min="7" max="7" width="44" customWidth="1"/>
  </cols>
  <sheetData>
    <row r="1" spans="1:7" ht="31.95" customHeight="1" x14ac:dyDescent="0.3">
      <c r="A1" s="1" t="s">
        <v>118</v>
      </c>
      <c r="B1" s="1" t="s">
        <v>119</v>
      </c>
      <c r="C1" s="1" t="s">
        <v>120</v>
      </c>
      <c r="D1" s="1" t="s">
        <v>7</v>
      </c>
      <c r="E1" s="1" t="s">
        <v>121</v>
      </c>
      <c r="F1" s="1" t="s">
        <v>122</v>
      </c>
      <c r="G1" s="1" t="s">
        <v>123</v>
      </c>
    </row>
    <row r="2" spans="1:7" x14ac:dyDescent="0.3">
      <c r="A2" s="7" t="s">
        <v>124</v>
      </c>
      <c r="B2" s="7" t="s">
        <v>125</v>
      </c>
      <c r="C2" s="10">
        <v>16.3</v>
      </c>
      <c r="D2" s="10">
        <v>15</v>
      </c>
      <c r="E2" s="10">
        <f t="shared" ref="E2:E10" si="0">D2-C2</f>
        <v>-1.3000000000000007</v>
      </c>
      <c r="F2" s="7" t="str">
        <f t="shared" ref="F2:F10" si="1">IF(E2&lt;0,"OVER LIMIT",IF(E2&lt;3,"TIGHT","OK"))</f>
        <v>OVER LIMIT</v>
      </c>
      <c r="G2" s="7" t="s">
        <v>126</v>
      </c>
    </row>
    <row r="3" spans="1:7" x14ac:dyDescent="0.3">
      <c r="A3" s="7" t="s">
        <v>127</v>
      </c>
      <c r="B3" s="7" t="s">
        <v>128</v>
      </c>
      <c r="C3" s="10">
        <v>17.5</v>
      </c>
      <c r="D3" s="10">
        <v>17</v>
      </c>
      <c r="E3" s="10">
        <f t="shared" si="0"/>
        <v>-0.5</v>
      </c>
      <c r="F3" s="7" t="str">
        <f t="shared" si="1"/>
        <v>OVER LIMIT</v>
      </c>
      <c r="G3" s="7" t="s">
        <v>129</v>
      </c>
    </row>
    <row r="4" spans="1:7" x14ac:dyDescent="0.3">
      <c r="A4" s="2" t="s">
        <v>130</v>
      </c>
      <c r="B4" s="2" t="s">
        <v>131</v>
      </c>
      <c r="C4" s="5">
        <v>11</v>
      </c>
      <c r="D4" s="5">
        <v>25</v>
      </c>
      <c r="E4" s="5">
        <f t="shared" si="0"/>
        <v>14</v>
      </c>
      <c r="F4" s="2" t="str">
        <f t="shared" si="1"/>
        <v>OK</v>
      </c>
      <c r="G4" s="2" t="s">
        <v>132</v>
      </c>
    </row>
    <row r="5" spans="1:7" x14ac:dyDescent="0.3">
      <c r="A5" s="2" t="s">
        <v>133</v>
      </c>
      <c r="B5" s="2" t="s">
        <v>131</v>
      </c>
      <c r="C5" s="5">
        <v>11</v>
      </c>
      <c r="D5" s="5">
        <v>21</v>
      </c>
      <c r="E5" s="5">
        <f t="shared" si="0"/>
        <v>10</v>
      </c>
      <c r="F5" s="2" t="str">
        <f t="shared" si="1"/>
        <v>OK</v>
      </c>
      <c r="G5" s="2" t="s">
        <v>132</v>
      </c>
    </row>
    <row r="6" spans="1:7" x14ac:dyDescent="0.3">
      <c r="A6" s="7" t="s">
        <v>134</v>
      </c>
      <c r="B6" s="7" t="s">
        <v>131</v>
      </c>
      <c r="C6" s="10">
        <v>11</v>
      </c>
      <c r="D6" s="10">
        <v>-15</v>
      </c>
      <c r="E6" s="10">
        <f t="shared" si="0"/>
        <v>-26</v>
      </c>
      <c r="F6" s="7" t="str">
        <f t="shared" si="1"/>
        <v>OVER LIMIT</v>
      </c>
      <c r="G6" s="7" t="s">
        <v>135</v>
      </c>
    </row>
    <row r="7" spans="1:7" x14ac:dyDescent="0.3">
      <c r="A7" s="2" t="s">
        <v>136</v>
      </c>
      <c r="B7" s="2" t="s">
        <v>137</v>
      </c>
      <c r="C7" s="5">
        <v>20</v>
      </c>
      <c r="D7" s="5">
        <v>28.75</v>
      </c>
      <c r="E7" s="5">
        <f t="shared" si="0"/>
        <v>8.75</v>
      </c>
      <c r="F7" s="2" t="str">
        <f t="shared" si="1"/>
        <v>OK</v>
      </c>
      <c r="G7" s="2" t="s">
        <v>132</v>
      </c>
    </row>
    <row r="8" spans="1:7" ht="26.4" x14ac:dyDescent="0.3">
      <c r="A8" s="2" t="s">
        <v>138</v>
      </c>
      <c r="B8" s="2" t="s">
        <v>139</v>
      </c>
      <c r="C8" s="5">
        <v>8</v>
      </c>
      <c r="D8" s="5">
        <v>16.989999999999998</v>
      </c>
      <c r="E8" s="5">
        <f t="shared" si="0"/>
        <v>8.9899999999999984</v>
      </c>
      <c r="F8" s="2" t="str">
        <f t="shared" si="1"/>
        <v>OK</v>
      </c>
      <c r="G8" s="2" t="s">
        <v>140</v>
      </c>
    </row>
    <row r="9" spans="1:7" x14ac:dyDescent="0.3">
      <c r="A9" s="2" t="s">
        <v>141</v>
      </c>
      <c r="B9" s="2" t="s">
        <v>142</v>
      </c>
      <c r="C9" s="5">
        <v>3</v>
      </c>
      <c r="D9" s="5">
        <v>10</v>
      </c>
      <c r="E9" s="5">
        <f t="shared" si="0"/>
        <v>7</v>
      </c>
      <c r="F9" s="2" t="str">
        <f t="shared" si="1"/>
        <v>OK</v>
      </c>
      <c r="G9" s="2" t="s">
        <v>143</v>
      </c>
    </row>
    <row r="10" spans="1:7" x14ac:dyDescent="0.3">
      <c r="A10" s="2" t="s">
        <v>144</v>
      </c>
      <c r="B10" s="2" t="s">
        <v>145</v>
      </c>
      <c r="C10" s="5">
        <v>14</v>
      </c>
      <c r="D10" s="5">
        <v>32.67</v>
      </c>
      <c r="E10" s="5">
        <f t="shared" si="0"/>
        <v>18.670000000000002</v>
      </c>
      <c r="F10" s="2" t="str">
        <f t="shared" si="1"/>
        <v>OK</v>
      </c>
      <c r="G10" s="2" t="s">
        <v>132</v>
      </c>
    </row>
    <row r="12" spans="1:7" x14ac:dyDescent="0.3">
      <c r="A12" s="12" t="s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62" customWidth="1"/>
    <col min="3" max="3" width="14" customWidth="1"/>
    <col min="4" max="4" width="40" customWidth="1"/>
    <col min="5" max="5" width="20" customWidth="1"/>
    <col min="6" max="6" width="26" customWidth="1"/>
  </cols>
  <sheetData>
    <row r="1" spans="1:6" ht="31.95" customHeight="1" x14ac:dyDescent="0.3">
      <c r="A1" s="1" t="s">
        <v>0</v>
      </c>
      <c r="B1" s="1" t="s">
        <v>147</v>
      </c>
      <c r="C1" s="1" t="s">
        <v>12</v>
      </c>
      <c r="D1" s="1" t="s">
        <v>148</v>
      </c>
      <c r="E1" s="1" t="s">
        <v>149</v>
      </c>
      <c r="F1" s="1" t="s">
        <v>14</v>
      </c>
    </row>
    <row r="2" spans="1:6" x14ac:dyDescent="0.3">
      <c r="A2" s="2" t="s">
        <v>17</v>
      </c>
      <c r="B2" s="2" t="s">
        <v>150</v>
      </c>
      <c r="C2" s="2">
        <v>3</v>
      </c>
      <c r="D2" s="2" t="s">
        <v>29</v>
      </c>
      <c r="E2" s="2" t="s">
        <v>26</v>
      </c>
      <c r="F2" s="2" t="s">
        <v>27</v>
      </c>
    </row>
    <row r="3" spans="1:6" ht="26.4" x14ac:dyDescent="0.3">
      <c r="A3" s="2" t="s">
        <v>17</v>
      </c>
      <c r="B3" s="2" t="s">
        <v>151</v>
      </c>
      <c r="C3" s="2">
        <v>1</v>
      </c>
      <c r="D3" s="2" t="s">
        <v>152</v>
      </c>
      <c r="E3" s="2" t="s">
        <v>26</v>
      </c>
      <c r="F3" s="2" t="s">
        <v>27</v>
      </c>
    </row>
    <row r="4" spans="1:6" x14ac:dyDescent="0.3">
      <c r="A4" s="2" t="s">
        <v>30</v>
      </c>
      <c r="B4" s="2" t="s">
        <v>153</v>
      </c>
      <c r="C4" s="2">
        <v>1</v>
      </c>
      <c r="D4" s="2" t="s">
        <v>41</v>
      </c>
      <c r="E4" s="2" t="s">
        <v>39</v>
      </c>
      <c r="F4" s="2" t="s">
        <v>40</v>
      </c>
    </row>
    <row r="5" spans="1:6" ht="26.4" x14ac:dyDescent="0.3">
      <c r="A5" s="2" t="s">
        <v>30</v>
      </c>
      <c r="B5" s="2" t="s">
        <v>154</v>
      </c>
      <c r="C5" s="2">
        <v>1</v>
      </c>
      <c r="D5" s="2" t="s">
        <v>155</v>
      </c>
      <c r="E5" s="2" t="s">
        <v>39</v>
      </c>
      <c r="F5" s="2" t="s">
        <v>40</v>
      </c>
    </row>
    <row r="6" spans="1:6" ht="26.4" x14ac:dyDescent="0.3">
      <c r="A6" s="2" t="s">
        <v>30</v>
      </c>
      <c r="B6" s="2" t="s">
        <v>156</v>
      </c>
      <c r="C6" s="2">
        <v>1</v>
      </c>
      <c r="D6" s="2" t="s">
        <v>157</v>
      </c>
      <c r="E6" s="2" t="s">
        <v>39</v>
      </c>
      <c r="F6" s="2" t="s">
        <v>40</v>
      </c>
    </row>
    <row r="7" spans="1:6" ht="26.4" x14ac:dyDescent="0.3">
      <c r="A7" s="2" t="s">
        <v>42</v>
      </c>
      <c r="B7" s="2" t="s">
        <v>158</v>
      </c>
      <c r="C7" s="2">
        <v>1</v>
      </c>
      <c r="D7" s="2" t="s">
        <v>52</v>
      </c>
      <c r="E7" s="2" t="s">
        <v>50</v>
      </c>
      <c r="F7" s="2" t="s">
        <v>51</v>
      </c>
    </row>
    <row r="8" spans="1:6" ht="26.4" x14ac:dyDescent="0.3">
      <c r="A8" s="2" t="s">
        <v>42</v>
      </c>
      <c r="B8" s="2" t="s">
        <v>159</v>
      </c>
      <c r="C8" s="2">
        <v>1</v>
      </c>
      <c r="D8" s="2" t="s">
        <v>160</v>
      </c>
      <c r="E8" s="2" t="s">
        <v>50</v>
      </c>
      <c r="F8" s="2" t="s">
        <v>51</v>
      </c>
    </row>
    <row r="9" spans="1:6" ht="26.4" x14ac:dyDescent="0.3">
      <c r="A9" s="2" t="s">
        <v>42</v>
      </c>
      <c r="B9" s="2" t="s">
        <v>161</v>
      </c>
      <c r="C9" s="2">
        <v>2</v>
      </c>
      <c r="D9" s="2" t="s">
        <v>162</v>
      </c>
      <c r="E9" s="2" t="s">
        <v>50</v>
      </c>
      <c r="F9" s="2" t="s">
        <v>51</v>
      </c>
    </row>
    <row r="10" spans="1:6" ht="26.4" x14ac:dyDescent="0.3">
      <c r="A10" s="2" t="s">
        <v>53</v>
      </c>
      <c r="B10" s="2" t="s">
        <v>163</v>
      </c>
      <c r="C10" s="2">
        <v>2</v>
      </c>
      <c r="D10" s="2" t="s">
        <v>65</v>
      </c>
      <c r="E10" s="2" t="s">
        <v>63</v>
      </c>
      <c r="F10" s="2" t="s">
        <v>64</v>
      </c>
    </row>
    <row r="11" spans="1:6" ht="26.4" x14ac:dyDescent="0.3">
      <c r="A11" s="2" t="s">
        <v>66</v>
      </c>
      <c r="B11" s="2" t="s">
        <v>164</v>
      </c>
      <c r="C11" s="2">
        <v>2</v>
      </c>
      <c r="D11" s="2" t="s">
        <v>76</v>
      </c>
      <c r="E11" s="2" t="s">
        <v>74</v>
      </c>
      <c r="F11" s="2" t="s">
        <v>75</v>
      </c>
    </row>
    <row r="12" spans="1:6" ht="26.4" x14ac:dyDescent="0.3">
      <c r="A12" s="2" t="s">
        <v>66</v>
      </c>
      <c r="B12" s="2" t="s">
        <v>165</v>
      </c>
      <c r="C12" s="2">
        <v>2</v>
      </c>
      <c r="D12" s="2" t="s">
        <v>166</v>
      </c>
      <c r="E12" s="2" t="s">
        <v>74</v>
      </c>
      <c r="F12" s="2" t="s">
        <v>75</v>
      </c>
    </row>
    <row r="13" spans="1:6" ht="26.4" x14ac:dyDescent="0.3">
      <c r="A13" s="2" t="s">
        <v>66</v>
      </c>
      <c r="B13" s="2" t="s">
        <v>167</v>
      </c>
      <c r="C13" s="2">
        <v>4</v>
      </c>
      <c r="D13" s="2" t="s">
        <v>168</v>
      </c>
      <c r="E13" s="2" t="s">
        <v>74</v>
      </c>
      <c r="F13" s="2" t="s">
        <v>75</v>
      </c>
    </row>
    <row r="14" spans="1:6" ht="26.4" x14ac:dyDescent="0.3">
      <c r="A14" s="2" t="s">
        <v>77</v>
      </c>
      <c r="B14" s="2" t="s">
        <v>169</v>
      </c>
      <c r="C14" s="2">
        <v>3</v>
      </c>
      <c r="D14" s="2" t="s">
        <v>86</v>
      </c>
      <c r="E14" s="2" t="s">
        <v>84</v>
      </c>
      <c r="F14" s="2" t="s">
        <v>85</v>
      </c>
    </row>
    <row r="15" spans="1:6" ht="26.4" x14ac:dyDescent="0.3">
      <c r="A15" s="2" t="s">
        <v>77</v>
      </c>
      <c r="B15" s="2" t="s">
        <v>170</v>
      </c>
      <c r="C15" s="2">
        <v>2</v>
      </c>
      <c r="D15" s="2" t="s">
        <v>171</v>
      </c>
      <c r="E15" s="2" t="s">
        <v>84</v>
      </c>
      <c r="F15" s="2" t="s">
        <v>85</v>
      </c>
    </row>
    <row r="16" spans="1:6" ht="26.4" x14ac:dyDescent="0.3">
      <c r="A16" s="2" t="s">
        <v>87</v>
      </c>
      <c r="B16" s="2" t="s">
        <v>172</v>
      </c>
      <c r="C16" s="2">
        <v>1</v>
      </c>
      <c r="D16" s="2" t="s">
        <v>95</v>
      </c>
      <c r="E16" s="2" t="s">
        <v>93</v>
      </c>
      <c r="F16" s="2" t="s">
        <v>94</v>
      </c>
    </row>
    <row r="17" spans="1:6" ht="26.4" x14ac:dyDescent="0.3">
      <c r="A17" s="2" t="s">
        <v>87</v>
      </c>
      <c r="B17" s="2" t="s">
        <v>173</v>
      </c>
      <c r="C17" s="2">
        <v>1</v>
      </c>
      <c r="D17" s="2" t="s">
        <v>174</v>
      </c>
      <c r="E17" s="2" t="s">
        <v>93</v>
      </c>
      <c r="F17" s="2" t="s">
        <v>94</v>
      </c>
    </row>
    <row r="18" spans="1:6" ht="26.4" x14ac:dyDescent="0.3">
      <c r="A18" s="2" t="s">
        <v>96</v>
      </c>
      <c r="B18" s="2" t="s">
        <v>175</v>
      </c>
      <c r="C18" s="2">
        <v>1</v>
      </c>
      <c r="D18" s="2" t="s">
        <v>105</v>
      </c>
      <c r="E18" s="2" t="s">
        <v>103</v>
      </c>
      <c r="F18" s="2" t="s">
        <v>104</v>
      </c>
    </row>
    <row r="19" spans="1:6" x14ac:dyDescent="0.3">
      <c r="A19" s="2" t="s">
        <v>106</v>
      </c>
      <c r="B19" s="2" t="s">
        <v>176</v>
      </c>
      <c r="C19" s="2">
        <v>1</v>
      </c>
      <c r="D19" s="2" t="s">
        <v>115</v>
      </c>
      <c r="E19" s="2" t="s">
        <v>113</v>
      </c>
      <c r="F19" s="2" t="s">
        <v>114</v>
      </c>
    </row>
    <row r="20" spans="1:6" ht="26.4" x14ac:dyDescent="0.3">
      <c r="A20" s="2" t="s">
        <v>106</v>
      </c>
      <c r="B20" s="2" t="s">
        <v>177</v>
      </c>
      <c r="C20" s="2">
        <v>1</v>
      </c>
      <c r="D20" s="2" t="s">
        <v>178</v>
      </c>
      <c r="E20" s="2" t="s">
        <v>113</v>
      </c>
      <c r="F20" s="2" t="s">
        <v>114</v>
      </c>
    </row>
    <row r="21" spans="1:6" ht="26.4" x14ac:dyDescent="0.3">
      <c r="A21" s="2" t="s">
        <v>106</v>
      </c>
      <c r="B21" s="2" t="s">
        <v>179</v>
      </c>
      <c r="C21" s="2">
        <v>1</v>
      </c>
      <c r="D21" s="2" t="s">
        <v>180</v>
      </c>
      <c r="E21" s="2" t="s">
        <v>113</v>
      </c>
      <c r="F21" s="2" t="s">
        <v>114</v>
      </c>
    </row>
    <row r="23" spans="1:6" x14ac:dyDescent="0.3">
      <c r="A23" s="12" t="s">
        <v>181</v>
      </c>
    </row>
  </sheetData>
  <hyperlinks>
    <hyperlink ref="E2" r:id="rId1" xr:uid="{00000000-0004-0000-0200-000000000000}"/>
    <hyperlink ref="F2" r:id="rId2" xr:uid="{00000000-0004-0000-0200-000001000000}"/>
    <hyperlink ref="E3" r:id="rId3" xr:uid="{00000000-0004-0000-0200-000002000000}"/>
    <hyperlink ref="F3" r:id="rId4" xr:uid="{00000000-0004-0000-0200-000003000000}"/>
    <hyperlink ref="E4" r:id="rId5" xr:uid="{00000000-0004-0000-0200-000004000000}"/>
    <hyperlink ref="F4" r:id="rId6" xr:uid="{00000000-0004-0000-0200-000005000000}"/>
    <hyperlink ref="E5" r:id="rId7" xr:uid="{00000000-0004-0000-0200-000006000000}"/>
    <hyperlink ref="F5" r:id="rId8" xr:uid="{00000000-0004-0000-0200-000007000000}"/>
    <hyperlink ref="E6" r:id="rId9" xr:uid="{00000000-0004-0000-0200-000008000000}"/>
    <hyperlink ref="F6" r:id="rId10" xr:uid="{00000000-0004-0000-0200-000009000000}"/>
    <hyperlink ref="E7" r:id="rId11" xr:uid="{00000000-0004-0000-0200-00000A000000}"/>
    <hyperlink ref="F7" r:id="rId12" xr:uid="{00000000-0004-0000-0200-00000B000000}"/>
    <hyperlink ref="E8" r:id="rId13" xr:uid="{00000000-0004-0000-0200-00000C000000}"/>
    <hyperlink ref="F8" r:id="rId14" xr:uid="{00000000-0004-0000-0200-00000D000000}"/>
    <hyperlink ref="E9" r:id="rId15" xr:uid="{00000000-0004-0000-0200-00000E000000}"/>
    <hyperlink ref="F9" r:id="rId16" xr:uid="{00000000-0004-0000-0200-00000F000000}"/>
    <hyperlink ref="E10" r:id="rId17" xr:uid="{00000000-0004-0000-0200-000010000000}"/>
    <hyperlink ref="F10" r:id="rId18" xr:uid="{00000000-0004-0000-0200-000011000000}"/>
    <hyperlink ref="E11" r:id="rId19" xr:uid="{00000000-0004-0000-0200-000012000000}"/>
    <hyperlink ref="F11" r:id="rId20" xr:uid="{00000000-0004-0000-0200-000013000000}"/>
    <hyperlink ref="E12" r:id="rId21" xr:uid="{00000000-0004-0000-0200-000014000000}"/>
    <hyperlink ref="F12" r:id="rId22" xr:uid="{00000000-0004-0000-0200-000015000000}"/>
    <hyperlink ref="E13" r:id="rId23" xr:uid="{00000000-0004-0000-0200-000016000000}"/>
    <hyperlink ref="F13" r:id="rId24" xr:uid="{00000000-0004-0000-0200-000017000000}"/>
    <hyperlink ref="E14" r:id="rId25" xr:uid="{00000000-0004-0000-0200-000018000000}"/>
    <hyperlink ref="F14" r:id="rId26" xr:uid="{00000000-0004-0000-0200-000019000000}"/>
    <hyperlink ref="E15" r:id="rId27" xr:uid="{00000000-0004-0000-0200-00001A000000}"/>
    <hyperlink ref="F15" r:id="rId28" xr:uid="{00000000-0004-0000-0200-00001B000000}"/>
    <hyperlink ref="E16" r:id="rId29" xr:uid="{00000000-0004-0000-0200-00001C000000}"/>
    <hyperlink ref="F16" r:id="rId30" xr:uid="{00000000-0004-0000-0200-00001D000000}"/>
    <hyperlink ref="E17" r:id="rId31" xr:uid="{00000000-0004-0000-0200-00001E000000}"/>
    <hyperlink ref="F17" r:id="rId32" xr:uid="{00000000-0004-0000-0200-00001F000000}"/>
    <hyperlink ref="E18" r:id="rId33" xr:uid="{00000000-0004-0000-0200-000020000000}"/>
    <hyperlink ref="F18" r:id="rId34" xr:uid="{00000000-0004-0000-0200-000021000000}"/>
    <hyperlink ref="E19" r:id="rId35" xr:uid="{00000000-0004-0000-0200-000022000000}"/>
    <hyperlink ref="F19" r:id="rId36" xr:uid="{00000000-0004-0000-0200-000023000000}"/>
    <hyperlink ref="E20" r:id="rId37" xr:uid="{00000000-0004-0000-0200-000024000000}"/>
    <hyperlink ref="F20" r:id="rId38" xr:uid="{00000000-0004-0000-0200-000025000000}"/>
    <hyperlink ref="E21" r:id="rId39" xr:uid="{00000000-0004-0000-0200-000026000000}"/>
    <hyperlink ref="F21" r:id="rId40" xr:uid="{00000000-0004-0000-0200-000027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Components</vt:lpstr>
      <vt:lpstr>Headroom</vt:lpstr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Sorin Jayaweera</cp:lastModifiedBy>
  <dcterms:created xsi:type="dcterms:W3CDTF">2026-09-16T04:09:56Z</dcterms:created>
  <dcterms:modified xsi:type="dcterms:W3CDTF">2026-09-16T04:10:17Z</dcterms:modified>
</cp:coreProperties>
</file>